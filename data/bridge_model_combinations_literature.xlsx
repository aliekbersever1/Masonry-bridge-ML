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tora_Tez\Köprü Tez Python 2\"/>
    </mc:Choice>
  </mc:AlternateContent>
  <xr:revisionPtr revIDLastSave="0" documentId="13_ncr:1_{C564AF9F-A7E1-456F-B6CD-AA183367DC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-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<sst xmlns="http://schemas.openxmlformats.org/spreadsheetml/2006/main" count="31" uniqueCount="24">
  <si>
    <t>Birim Hacim Ağırlık (kN/m³)</t>
  </si>
  <si>
    <t>1. Frekans (Hz)</t>
  </si>
  <si>
    <t>Musapalas</t>
  </si>
  <si>
    <t>Mavilik köprüsü</t>
  </si>
  <si>
    <t>tağar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</si>
  <si>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</si>
  <si>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</si>
  <si>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</si>
  <si>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</si>
  <si>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</si>
  <si>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</si>
  <si>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</si>
  <si>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</si>
  <si>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</si>
  <si>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Şenyuva</t>
  </si>
  <si>
    <t>Mikron</t>
  </si>
  <si>
    <t>Köprü</t>
  </si>
  <si>
    <t>Köprü Uzunluğu L (m)</t>
  </si>
  <si>
    <t>Elastisite E (MPa)</t>
  </si>
  <si>
    <t>Yükseklik H (m)</t>
  </si>
  <si>
    <t>2. Frekans (Hz)</t>
  </si>
  <si>
    <t>K Kemer açıklığı (m)</t>
  </si>
  <si>
    <t>Köprü Genişliği W (m)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</si>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</sst>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EEC6-D49A-4C02-B472-425E2672B0A0}">
  <dimension ref="A1:I15"/>
  <sheetViews>
    <sheetView tabSelected="1" zoomScale="85" zoomScaleNormal="85" workbookViewId="0">
      <selection activeCell="I20" sqref="I20"/>
    </sheetView>
  </sheetViews>
  <sheetFormatPr defaultRowHeight="14.5" x14ac:dyDescent="0.35"/>
  <cols>
    <col min="1" max="1" width="12" bestFit="1" customWidth="1"/>
    <col min="2" max="2" width="15.1796875" customWidth="1"/>
    <col min="3" max="3" width="8.81640625" bestFit="1" customWidth="1"/>
    <col min="4" max="4" width="10.26953125" customWidth="1"/>
    <col min="5" max="5" width="11.26953125" customWidth="1"/>
    <col min="6" max="6" width="13.54296875" customWidth="1"/>
    <col min="7" max="8" width="12.1796875" customWidth="1"/>
    <col min="9" max="9" width="15.1796875" bestFit="1" customWidth="1"/>
  </cols>
  <sheetData>
    <row r="1" spans="1:9" ht="44" customHeight="1" x14ac:dyDescent="0.35">
      <c r="A1" s="12" t="s">
        <v>21</v>
      </c>
      <c r="B1" s="1" t="s">
        <v>17</v>
      </c>
      <c r="C1" s="1" t="s">
        <v>22</v>
      </c>
      <c r="D1" s="1" t="s">
        <v>19</v>
      </c>
      <c r="E1" s="1" t="s">
        <v>18</v>
      </c>
      <c r="F1" s="1" t="s">
        <v>0</v>
      </c>
      <c r="G1" s="1" t="s">
        <v>1</v>
      </c>
      <c r="H1" s="1" t="s">
        <v>20</v>
      </c>
      <c r="I1" s="12" t="s">
        <v>16</v>
      </c>
    </row>
    <row r="2" spans="1:9" x14ac:dyDescent="0.35">
      <c r="A2" s="2">
        <v>11</v>
      </c>
      <c r="B2" s="2">
        <v>32</v>
      </c>
      <c r="C2" s="2">
        <v>6</v>
      </c>
      <c r="D2" s="2">
        <v>9.1999999999999993</v>
      </c>
      <c r="E2" s="2">
        <v>1710</v>
      </c>
      <c r="F2" s="2">
        <v>16.79</v>
      </c>
      <c r="G2" s="10">
        <v>11.88</v>
      </c>
      <c r="H2" s="10">
        <v>17.7</v>
      </c>
      <c r="I2" s="5" t="s">
        <v>2</v>
      </c>
    </row>
    <row r="3" spans="1:9" x14ac:dyDescent="0.35">
      <c r="A3" s="2">
        <v>9.15</v>
      </c>
      <c r="B3" s="2">
        <v>28.5</v>
      </c>
      <c r="C3" s="2">
        <v>6</v>
      </c>
      <c r="D3" s="2">
        <v>5.5</v>
      </c>
      <c r="E3" s="2">
        <v>1800</v>
      </c>
      <c r="F3" s="2">
        <v>13.5</v>
      </c>
      <c r="G3" s="10">
        <v>21.786999999999999</v>
      </c>
      <c r="H3" s="10">
        <v>28.123999999999999</v>
      </c>
      <c r="I3" s="5" t="s">
        <v>3</v>
      </c>
    </row>
    <row r="4" spans="1:9" x14ac:dyDescent="0.35">
      <c r="A4" s="2">
        <v>15.8</v>
      </c>
      <c r="B4" s="2">
        <v>44.8</v>
      </c>
      <c r="C4" s="2">
        <v>4.2</v>
      </c>
      <c r="D4" s="2">
        <v>9</v>
      </c>
      <c r="E4" s="3">
        <v>2104</v>
      </c>
      <c r="F4" s="3">
        <v>20.8</v>
      </c>
      <c r="G4" s="10">
        <v>5.9474</v>
      </c>
      <c r="H4" s="10">
        <v>10.587</v>
      </c>
      <c r="I4" s="6" t="s">
        <v>4</v>
      </c>
    </row>
    <row r="5" spans="1:9" x14ac:dyDescent="0.35">
      <c r="A5" s="3">
        <v>22</v>
      </c>
      <c r="B5" s="3">
        <v>28</v>
      </c>
      <c r="C5" s="3">
        <v>4</v>
      </c>
      <c r="D5" s="3">
        <v>11.05</v>
      </c>
      <c r="E5" s="3">
        <v>1028</v>
      </c>
      <c r="F5" s="3">
        <v>16.829999999999998</v>
      </c>
      <c r="G5" s="9">
        <f>1/0.182</f>
        <v>5.4945054945054945</v>
      </c>
      <c r="H5" s="9">
        <f>1/0.11</f>
        <v>9.0909090909090917</v>
      </c>
      <c r="I5" s="7" t="s">
        <v>5</v>
      </c>
    </row>
    <row r="6" spans="1:9" x14ac:dyDescent="0.35">
      <c r="A6" s="3">
        <v>22</v>
      </c>
      <c r="B6" s="3">
        <v>28</v>
      </c>
      <c r="C6" s="3">
        <v>4</v>
      </c>
      <c r="D6" s="3">
        <v>11.05</v>
      </c>
      <c r="E6" s="3">
        <v>1082</v>
      </c>
      <c r="F6" s="3">
        <v>18.63</v>
      </c>
      <c r="G6" s="9">
        <f>1/0.192</f>
        <v>5.208333333333333</v>
      </c>
      <c r="H6" s="9" t="s">
        <v>23</v>
      </c>
      <c r="I6" s="7" t="s">
        <v>6</v>
      </c>
    </row>
    <row r="7" spans="1:9" x14ac:dyDescent="0.35">
      <c r="A7" s="3">
        <v>22</v>
      </c>
      <c r="B7" s="3">
        <v>28</v>
      </c>
      <c r="C7" s="3">
        <v>4</v>
      </c>
      <c r="D7" s="3">
        <v>11.05</v>
      </c>
      <c r="E7" s="3">
        <v>1136.9000000000001</v>
      </c>
      <c r="F7" s="3">
        <v>20.420000000000002</v>
      </c>
      <c r="G7" s="9">
        <f>1/0.202</f>
        <v>4.9504950495049505</v>
      </c>
      <c r="H7" s="9" t="s">
        <v>23</v>
      </c>
      <c r="I7" s="7" t="s">
        <v>7</v>
      </c>
    </row>
    <row r="8" spans="1:9" x14ac:dyDescent="0.35">
      <c r="A8" s="3">
        <v>22</v>
      </c>
      <c r="B8" s="3">
        <v>28</v>
      </c>
      <c r="C8" s="3">
        <v>4</v>
      </c>
      <c r="D8" s="3">
        <v>11.05</v>
      </c>
      <c r="E8" s="3">
        <v>1378.5</v>
      </c>
      <c r="F8" s="3">
        <v>16.829999999999998</v>
      </c>
      <c r="G8" s="9">
        <f>1/0.16</f>
        <v>6.25</v>
      </c>
      <c r="H8" s="9" t="s">
        <v>23</v>
      </c>
      <c r="I8" s="7" t="s">
        <v>8</v>
      </c>
    </row>
    <row r="9" spans="1:9" x14ac:dyDescent="0.35">
      <c r="A9" s="3">
        <v>22</v>
      </c>
      <c r="B9" s="3">
        <v>28</v>
      </c>
      <c r="C9" s="3">
        <v>4</v>
      </c>
      <c r="D9" s="3">
        <v>11.05</v>
      </c>
      <c r="E9" s="3">
        <v>1433.1</v>
      </c>
      <c r="F9" s="3">
        <v>18.63</v>
      </c>
      <c r="G9" s="9">
        <f>1/0.169</f>
        <v>5.9171597633136095</v>
      </c>
      <c r="H9" s="9" t="s">
        <v>23</v>
      </c>
      <c r="I9" s="7" t="s">
        <v>9</v>
      </c>
    </row>
    <row r="10" spans="1:9" x14ac:dyDescent="0.35">
      <c r="A10" s="3">
        <v>22</v>
      </c>
      <c r="B10" s="3">
        <v>28</v>
      </c>
      <c r="C10" s="3">
        <v>4</v>
      </c>
      <c r="D10" s="3">
        <v>11.05</v>
      </c>
      <c r="E10" s="3">
        <v>1487.8</v>
      </c>
      <c r="F10" s="3">
        <v>20.420000000000002</v>
      </c>
      <c r="G10" s="9">
        <f>1/0.177</f>
        <v>5.6497175141242941</v>
      </c>
      <c r="H10" s="9" t="s">
        <v>23</v>
      </c>
      <c r="I10" s="7" t="s">
        <v>10</v>
      </c>
    </row>
    <row r="11" spans="1:9" x14ac:dyDescent="0.35">
      <c r="A11" s="3">
        <v>22</v>
      </c>
      <c r="B11" s="3">
        <v>28</v>
      </c>
      <c r="C11" s="3">
        <v>4</v>
      </c>
      <c r="D11" s="3">
        <v>11.05</v>
      </c>
      <c r="E11" s="3">
        <v>1729.3</v>
      </c>
      <c r="F11" s="3">
        <v>16.829999999999998</v>
      </c>
      <c r="G11" s="9">
        <f>1/0.147</f>
        <v>6.8027210884353746</v>
      </c>
      <c r="H11" s="9" t="s">
        <v>23</v>
      </c>
      <c r="I11" s="7" t="s">
        <v>11</v>
      </c>
    </row>
    <row r="12" spans="1:9" x14ac:dyDescent="0.35">
      <c r="A12" s="3">
        <v>22</v>
      </c>
      <c r="B12" s="3">
        <v>28</v>
      </c>
      <c r="C12" s="3">
        <v>4</v>
      </c>
      <c r="D12" s="3">
        <v>11.05</v>
      </c>
      <c r="E12" s="3">
        <v>1783.9</v>
      </c>
      <c r="F12" s="3">
        <v>18.63</v>
      </c>
      <c r="G12" s="9">
        <f>1/0.155</f>
        <v>6.4516129032258069</v>
      </c>
      <c r="H12" s="9" t="s">
        <v>23</v>
      </c>
      <c r="I12" s="7" t="s">
        <v>12</v>
      </c>
    </row>
    <row r="13" spans="1:9" x14ac:dyDescent="0.35">
      <c r="A13" s="3">
        <v>22</v>
      </c>
      <c r="B13" s="3">
        <v>28</v>
      </c>
      <c r="C13" s="3">
        <v>4</v>
      </c>
      <c r="D13" s="3">
        <v>11.05</v>
      </c>
      <c r="E13" s="3">
        <v>1838.6</v>
      </c>
      <c r="F13" s="3">
        <v>20.420000000000002</v>
      </c>
      <c r="G13" s="9">
        <f>1/0.163</f>
        <v>6.1349693251533743</v>
      </c>
      <c r="H13" s="9" t="s">
        <v>23</v>
      </c>
      <c r="I13" s="7" t="s">
        <v>13</v>
      </c>
    </row>
    <row r="14" spans="1:9" x14ac:dyDescent="0.35">
      <c r="A14" s="8">
        <v>24.8</v>
      </c>
      <c r="B14" s="8">
        <v>52.4</v>
      </c>
      <c r="C14" s="8">
        <v>2.5</v>
      </c>
      <c r="D14" s="8">
        <v>13.6</v>
      </c>
      <c r="E14" s="8">
        <v>2000</v>
      </c>
      <c r="F14" s="8">
        <v>13.9</v>
      </c>
      <c r="G14" s="11">
        <v>3.347</v>
      </c>
      <c r="H14" s="11">
        <v>5.7720000000000002</v>
      </c>
      <c r="I14" s="4" t="s">
        <v>14</v>
      </c>
    </row>
    <row r="15" spans="1:9" x14ac:dyDescent="0.35">
      <c r="A15" s="8">
        <v>19.489999999999998</v>
      </c>
      <c r="B15" s="8">
        <v>33.799999999999997</v>
      </c>
      <c r="C15" s="8">
        <v>3</v>
      </c>
      <c r="D15" s="8">
        <v>9.4</v>
      </c>
      <c r="E15" s="8">
        <v>1950</v>
      </c>
      <c r="F15" s="8">
        <v>13.8</v>
      </c>
      <c r="G15" s="11">
        <v>5.415</v>
      </c>
      <c r="H15" s="11">
        <v>10.113</v>
      </c>
      <c r="I15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Ekber SEVER</cp:lastModifiedBy>
  <dcterms:created xsi:type="dcterms:W3CDTF">2025-05-03T13:22:31Z</dcterms:created>
  <dcterms:modified xsi:type="dcterms:W3CDTF">2026-06-14T17:03:18Z</dcterms:modified>
</cp:coreProperties>
</file>